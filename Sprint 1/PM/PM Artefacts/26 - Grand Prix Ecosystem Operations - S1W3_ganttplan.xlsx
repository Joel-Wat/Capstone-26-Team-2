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53fd779f7541ecc/Documents/RMIT Documents/Programming Project 1/Project Progress 3/"/>
    </mc:Choice>
  </mc:AlternateContent>
  <xr:revisionPtr revIDLastSave="31" documentId="8_{5A931BAE-C6AB-4DA0-B33A-694F5689E10A}" xr6:coauthVersionLast="47" xr6:coauthVersionMax="47" xr10:uidLastSave="{BE39DFF6-C101-410D-8C6D-45B7FA5895A3}"/>
  <bookViews>
    <workbookView xWindow="-110" yWindow="-110" windowWidth="22780" windowHeight="14540" tabRatio="500" activeTab="1" xr2:uid="{00000000-000D-0000-FFFF-FFFF00000000}"/>
  </bookViews>
  <sheets>
    <sheet name="Instructions" sheetId="1" r:id="rId1"/>
    <sheet name="Task Plan &amp; Gantt" sheetId="2" r:id="rId2"/>
    <sheet name="Weekly Workload Check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" i="3" l="1"/>
  <c r="D7" i="3"/>
  <c r="D6" i="3"/>
  <c r="B5" i="3"/>
  <c r="D9" i="3"/>
  <c r="C9" i="3"/>
  <c r="B9" i="3"/>
  <c r="C8" i="3"/>
  <c r="B8" i="3"/>
  <c r="C7" i="3"/>
  <c r="B7" i="3"/>
  <c r="C6" i="3"/>
  <c r="B6" i="3"/>
  <c r="D5" i="3"/>
  <c r="C5" i="3"/>
  <c r="E8" i="3" l="1"/>
  <c r="F8" i="3" s="1"/>
  <c r="E6" i="3"/>
  <c r="F6" i="3" s="1"/>
  <c r="E9" i="3"/>
  <c r="F9" i="3" s="1"/>
  <c r="E5" i="3"/>
  <c r="F5" i="3" s="1"/>
  <c r="E7" i="3"/>
  <c r="F7" i="3" s="1"/>
</calcChain>
</file>

<file path=xl/sharedStrings.xml><?xml version="1.0" encoding="utf-8"?>
<sst xmlns="http://schemas.openxmlformats.org/spreadsheetml/2006/main" count="242" uniqueCount="128">
  <si>
    <t>Sprint Planning — Instructions &amp; Legend</t>
  </si>
  <si>
    <t>COSC2408 Programming Project 1</t>
  </si>
  <si>
    <t>What this workbook is for</t>
  </si>
  <si>
    <t>This is the detailed HOW for next sprint — the task-by-task breakdown, owner, timing and sequencing. It is a separate deliverable from your Sprint Playback slide 7 ("What's Next"), which only states WHAT you're promising. This workbook is where that promise gets broken down into real, assigned, time-estimated tasks.</t>
  </si>
  <si>
    <t>The 240-minute rule</t>
  </si>
  <si>
    <t>Every team member must be assigned at least 240 minutes (4 hours) of tasks per week, for every week of the upcoming sprint. Estimate time at a junior-practitioner level — the same standard used for your weekly task board (e.g. a straightforward API endpoint with tests is ~30 minutes, regardless of how long it actually takes you in practice). The Weekly Workload Check tab totals this automatically and flags anyone under the minimum.</t>
  </si>
  <si>
    <t>How to use the Task Plan &amp; Gantt tab</t>
  </si>
  <si>
    <t>1.  Delete the yellow example row once you understand the format — it is not a real task.</t>
  </si>
  <si>
    <t>2.  Add one row per task: name it, assign an Owner, estimate the minutes, set the Week (1–3), the Start Day WITHIN that week (1 = Monday, 5 = Friday) and the Duration in days.</t>
  </si>
  <si>
    <t>3.  The Gantt bar on the right fills in automatically based on Start Day and Duration — you don't edit it directly.</t>
  </si>
  <si>
    <t>4.  Use Dependencies to note if a task can't start until another Task ID is done.</t>
  </si>
  <si>
    <t>5.  Update Status as the sprint progresses — this tab doubles as your working plan, not just a one-off submission.</t>
  </si>
  <si>
    <t>Editable vs computed</t>
  </si>
  <si>
    <t>Submission</t>
  </si>
  <si>
    <t>Rename this file  x - team name - S1W7_ganttplan  (e.g. 90 - Food Delivery System - S1W7_ganttplan) and submit alongside your other Week 7 files. It plans the upcoming sprint, so it's due the same week as your Playback.</t>
  </si>
  <si>
    <t>Colour key</t>
  </si>
  <si>
    <t xml:space="preserve">   Example row — delete before submitting</t>
  </si>
  <si>
    <t xml:space="preserve">   Weekly Workload Check: meets the 240-minute minimum</t>
  </si>
  <si>
    <t xml:space="preserve">   Weekly Workload Check: under the 240-minute minimum</t>
  </si>
  <si>
    <t>Every member needs ≥240 min/week. See the Instructions tab before editing.</t>
  </si>
  <si>
    <t>Task ID</t>
  </si>
  <si>
    <t>Task Name</t>
  </si>
  <si>
    <t>Owner</t>
  </si>
  <si>
    <t>Est. Minutes</t>
  </si>
  <si>
    <t>Week</t>
  </si>
  <si>
    <t>Start Day
(1=Mon–5=Fri)</t>
  </si>
  <si>
    <t>Duration (days)</t>
  </si>
  <si>
    <t>Dependencies</t>
  </si>
  <si>
    <t>Week 1</t>
  </si>
  <si>
    <t>Week 2</t>
  </si>
  <si>
    <t>Week 3</t>
  </si>
  <si>
    <t>Mon</t>
  </si>
  <si>
    <t>Tue</t>
  </si>
  <si>
    <t>Wed</t>
  </si>
  <si>
    <t>Thu</t>
  </si>
  <si>
    <t>Fri</t>
  </si>
  <si>
    <t>T1</t>
  </si>
  <si>
    <t>Dev 1</t>
  </si>
  <si>
    <t>-</t>
  </si>
  <si>
    <t>Weekly Workload Check — 240 min (4 hrs) minimum per person, per week</t>
  </si>
  <si>
    <t>Computed automatically from the Task Plan &amp; Gantt tab. Do not edit the numbers directly.</t>
  </si>
  <si>
    <t>Role</t>
  </si>
  <si>
    <t>Week 1 (min)</t>
  </si>
  <si>
    <t>Week 2 (min)</t>
  </si>
  <si>
    <t>Week 3 (min)</t>
  </si>
  <si>
    <t>Sprint Total (min)</t>
  </si>
  <si>
    <t>Sprint Total (hrs)</t>
  </si>
  <si>
    <t>PM</t>
  </si>
  <si>
    <t>Dev 2</t>
  </si>
  <si>
    <t>UX/Research</t>
  </si>
  <si>
    <t>Business/QA</t>
  </si>
  <si>
    <t>Green = meets the 240-minute weekly minimum. Red = under the minimum — rebalance tasks in the Task Plan &amp; Gantt tab.</t>
  </si>
  <si>
    <r>
      <t xml:space="preserve">Only the white cells in the Task Plan &amp; Gantt tab are for you to fill in (Task ID through Status). The Gantt bars and everything on the Weekly Workload Check tab are computed automatically — don't type into them. </t>
    </r>
    <r>
      <rPr>
        <b/>
        <sz val="11"/>
        <color rgb="FFFF0000"/>
        <rFont val="Arial"/>
        <family val="2"/>
      </rPr>
      <t>You can change the roles by maunally typing into Column C (owner) and then using the same valueein the Weekly Workload check</t>
    </r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</si>
  <si>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</si>
  <si>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</si>
  <si>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</si>
  <si>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</si>
  <si>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</si>
  <si>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</si>
  <si>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</si>
  <si>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</si>
  <si>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</si>
  <si>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</si>
  <si>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</si>
  <si>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</si>
  <si>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</si>
  <si>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</si>
  <si>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</si>
  <si>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</si>
  <si>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</si>
  <si>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</si>
  <si>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</si>
  <si>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</si>
  <si>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</si>
  <si>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T24</t>
  </si>
  <si>
    <t>T23</t>
  </si>
  <si>
    <t>Develop Prototype Test Scenarios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</si>
  <si>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</si>
  <si>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</si>
  <si>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</si>
  <si>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</si>
  <si>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</si>
  <si>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</si>
  <si>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</si>
  <si>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</si>
  <si>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</si>
  <si>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</si>
  <si>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</si>
  <si>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</si>
  <si>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Attend Weekly Team Meeting</t>
  </si>
  <si>
    <t>Prepare Developer-Ready UX Specification</t>
  </si>
  <si>
    <t>Begin Prototype Development</t>
  </si>
  <si>
    <t>Finalise Prototype Requirements &amp; Acceptance Criteria</t>
  </si>
  <si>
    <t>Finalise Prototype User Flow &amp; Wireframes</t>
  </si>
  <si>
    <t>Implement Vendor Form Experience</t>
  </si>
  <si>
    <t>Implement Navigation &amp; System Feedback</t>
  </si>
  <si>
    <t>Resolve Prototype Flaws &amp; Defects</t>
  </si>
  <si>
    <t>T7 &amp; T10</t>
  </si>
  <si>
    <t>T8 &amp; T11</t>
  </si>
  <si>
    <t>T20 &amp; T23</t>
  </si>
  <si>
    <t>Team 26 — Next-Sprint Task Plan &amp; Gantt   |   Sprint 2 (Weeks 4–6)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</si>
  <si>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</si>
  <si>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</si>
  <si>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</si>
  <si>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</si>
  <si>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</si>
  <si>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</si>
  <si>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</si>
  <si>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</si>
  <si>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</si>
  <si>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Sprint 2 Planning &amp; Group Allignment</t>
  </si>
  <si>
    <t>Establish Sprint Tracking &amp; Risk Management</t>
  </si>
  <si>
    <t>Conduct Mid-Sprint Progress &amp; Scope Review</t>
  </si>
  <si>
    <t>Prepare &amp; Coordinate Sprint Playback</t>
  </si>
  <si>
    <t>Organise &amp; Run Weekly Team Meeting</t>
  </si>
  <si>
    <t>Finalise Proposed User Journey</t>
  </si>
  <si>
    <t>Design Prototype Technical Workflow &amp; Application Structure</t>
  </si>
  <si>
    <t>Coordinate Prototype Integration &amp; Resolve Blockers</t>
  </si>
  <si>
    <t>Conduct Mid-Sprint Client Requirements Review</t>
  </si>
  <si>
    <t>Check Prototype UX Implementation Progress</t>
  </si>
  <si>
    <t>Review Prototype Readiness &amp; Sprint Close-Out</t>
  </si>
  <si>
    <t>Conduct Prototype Acceptance Criteria Testing</t>
  </si>
  <si>
    <t>Document Prototype Test Results, Limitations &amp; Improvements</t>
  </si>
  <si>
    <t>Conduct Prototype End-to-End UX Review</t>
  </si>
  <si>
    <t>Revise Developer-Ready UX Specifications</t>
  </si>
  <si>
    <t>Review BA Testing &amp; UX Prototype Notes</t>
  </si>
  <si>
    <t>T35 &amp; T38</t>
  </si>
  <si>
    <t>Test Prototype Satisfies Revised UX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</si>
</sst>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charset val="1"/>
    </font>
    <font>
      <b/>
      <sz val="16"/>
      <color rgb="FF1A1A1A"/>
      <name val="Arial"/>
      <charset val="1"/>
    </font>
    <font>
      <sz val="10"/>
      <color rgb="FF7F7F7F"/>
      <name val="Arial"/>
      <charset val="1"/>
    </font>
    <font>
      <b/>
      <sz val="12"/>
      <color rgb="FFE4002B"/>
      <name val="Arial"/>
      <charset val="1"/>
    </font>
    <font>
      <sz val="11"/>
      <color rgb="FF1A1A1A"/>
      <name val="Arial"/>
      <charset val="1"/>
    </font>
    <font>
      <b/>
      <sz val="14"/>
      <color rgb="FF1A1A1A"/>
      <name val="Arial"/>
      <charset val="1"/>
    </font>
    <font>
      <i/>
      <sz val="10"/>
      <color rgb="FFE4002B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8"/>
      <color rgb="FF7F7F7F"/>
      <name val="Arial"/>
      <charset val="1"/>
    </font>
    <font>
      <sz val="10"/>
      <color rgb="FF1A1A1A"/>
      <name val="Arial"/>
      <charset val="1"/>
    </font>
    <font>
      <b/>
      <sz val="13"/>
      <color rgb="FF1A1A1A"/>
      <name val="Arial"/>
      <charset val="1"/>
    </font>
    <font>
      <i/>
      <sz val="10"/>
      <color rgb="FF7F7F7F"/>
      <name val="Arial"/>
      <charset val="1"/>
    </font>
    <font>
      <b/>
      <sz val="10"/>
      <color rgb="FF1A1A1A"/>
      <name val="Arial"/>
      <charset val="1"/>
    </font>
    <font>
      <i/>
      <sz val="9"/>
      <color rgb="FF7F7F7F"/>
      <name val="Arial"/>
      <charset val="1"/>
    </font>
    <font>
      <b/>
      <sz val="11"/>
      <color rgb="FFFF0000"/>
      <name val="Arial"/>
      <family val="2"/>
    </font>
    <font>
      <sz val="11"/>
      <color rgb="FF1A1A1A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6CC"/>
        <bgColor rgb="FFF5F5F5"/>
      </patternFill>
    </fill>
    <fill>
      <patternFill patternType="solid">
        <fgColor rgb="FFC6EFCE"/>
        <bgColor rgb="FFD9D9D9"/>
      </patternFill>
    </fill>
    <fill>
      <patternFill patternType="solid">
        <fgColor rgb="FFFDE2E2"/>
        <bgColor rgb="FFF5F5F5"/>
      </patternFill>
    </fill>
    <fill>
      <patternFill patternType="solid">
        <fgColor rgb="FF1A1A1A"/>
        <bgColor rgb="FF333300"/>
      </patternFill>
    </fill>
    <fill>
      <patternFill patternType="solid">
        <fgColor rgb="FFE4002B"/>
        <bgColor rgb="FF800000"/>
      </patternFill>
    </fill>
    <fill>
      <patternFill patternType="solid">
        <fgColor rgb="FF7F7F7F"/>
        <bgColor rgb="FF969696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7" fillId="5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8" fillId="7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13" fillId="0" borderId="1" xfId="0" applyFont="1" applyBorder="1"/>
    <xf numFmtId="0" fontId="10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16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5" borderId="1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4" fillId="0" borderId="0" xfId="0" applyFont="1" applyAlignment="1">
      <alignment vertical="top" wrapText="1"/>
    </xf>
  </cellXfs>
  <cellStyles count="1">
    <cellStyle name="Normal" xfId="0" builtinId="0"/>
  </cellStyles>
  <dxfs count="3">
    <dxf>
      <fill>
        <patternFill>
          <bgColor rgb="FFFDE2E2"/>
        </patternFill>
      </fill>
    </dxf>
    <dxf>
      <fill>
        <patternFill>
          <bgColor rgb="FFC6EFCE"/>
        </patternFill>
      </fill>
    </dxf>
    <dxf>
      <fill>
        <patternFill>
          <bgColor rgb="FFE4002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E4002B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6CC"/>
      <rgbColor rgb="FFF5F5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D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B27"/>
  <sheetViews>
    <sheetView showGridLines="0" topLeftCell="A10" zoomScaleNormal="100" workbookViewId="0">
      <selection activeCell="B33" sqref="B33"/>
    </sheetView>
  </sheetViews>
  <sheetFormatPr defaultColWidth="8.7265625" defaultRowHeight="14.5" x14ac:dyDescent="0.35"/>
  <cols>
    <col min="1" max="1" width="3" customWidth="1"/>
    <col min="2" max="2" width="78" customWidth="1"/>
  </cols>
  <sheetData>
    <row r="2" spans="2:2" ht="20" x14ac:dyDescent="0.4">
      <c r="B2" s="2" t="s">
        <v>0</v>
      </c>
    </row>
    <row r="3" spans="2:2" x14ac:dyDescent="0.35">
      <c r="B3" s="3" t="s">
        <v>1</v>
      </c>
    </row>
    <row r="5" spans="2:2" ht="15.5" x14ac:dyDescent="0.35">
      <c r="B5" s="4" t="s">
        <v>2</v>
      </c>
    </row>
    <row r="6" spans="2:2" ht="56" x14ac:dyDescent="0.35">
      <c r="B6" s="5" t="s">
        <v>3</v>
      </c>
    </row>
    <row r="8" spans="2:2" ht="15.5" x14ac:dyDescent="0.35">
      <c r="B8" s="4" t="s">
        <v>4</v>
      </c>
    </row>
    <row r="9" spans="2:2" ht="84" x14ac:dyDescent="0.35">
      <c r="B9" s="5" t="s">
        <v>5</v>
      </c>
    </row>
    <row r="11" spans="2:2" ht="15.5" x14ac:dyDescent="0.35">
      <c r="B11" s="4" t="s">
        <v>6</v>
      </c>
    </row>
    <row r="12" spans="2:2" ht="28" x14ac:dyDescent="0.35">
      <c r="B12" s="5" t="s">
        <v>7</v>
      </c>
    </row>
    <row r="13" spans="2:2" ht="42" x14ac:dyDescent="0.35">
      <c r="B13" s="5" t="s">
        <v>8</v>
      </c>
    </row>
    <row r="14" spans="2:2" ht="28" x14ac:dyDescent="0.35">
      <c r="B14" s="5" t="s">
        <v>9</v>
      </c>
    </row>
    <row r="15" spans="2:2" x14ac:dyDescent="0.35">
      <c r="B15" s="5" t="s">
        <v>10</v>
      </c>
    </row>
    <row r="16" spans="2:2" ht="28" x14ac:dyDescent="0.35">
      <c r="B16" s="5" t="s">
        <v>11</v>
      </c>
    </row>
    <row r="18" spans="2:2" ht="15.5" x14ac:dyDescent="0.35">
      <c r="B18" s="4" t="s">
        <v>12</v>
      </c>
    </row>
    <row r="19" spans="2:2" ht="70" x14ac:dyDescent="0.35">
      <c r="B19" s="17" t="s">
        <v>52</v>
      </c>
    </row>
    <row r="21" spans="2:2" ht="15.5" x14ac:dyDescent="0.35">
      <c r="B21" s="4" t="s">
        <v>13</v>
      </c>
    </row>
    <row r="22" spans="2:2" ht="42" x14ac:dyDescent="0.35">
      <c r="B22" s="17" t="s">
        <v>14</v>
      </c>
    </row>
    <row r="24" spans="2:2" ht="15.5" x14ac:dyDescent="0.35">
      <c r="B24" s="4" t="s">
        <v>15</v>
      </c>
    </row>
    <row r="25" spans="2:2" ht="19.5" customHeight="1" x14ac:dyDescent="0.35">
      <c r="B25" s="6" t="s">
        <v>16</v>
      </c>
    </row>
    <row r="26" spans="2:2" ht="19.5" customHeight="1" x14ac:dyDescent="0.35">
      <c r="B26" s="7" t="s">
        <v>17</v>
      </c>
    </row>
    <row r="27" spans="2:2" ht="19.5" customHeight="1" x14ac:dyDescent="0.35">
      <c r="B27" s="8" t="s">
        <v>18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51"/>
  <sheetViews>
    <sheetView showGridLines="0" tabSelected="1" zoomScaleNormal="100" workbookViewId="0">
      <pane xSplit="8" ySplit="6" topLeftCell="I7" activePane="bottomRight" state="frozen"/>
      <selection pane="topRight" activeCell="J1" sqref="J1"/>
      <selection pane="bottomLeft" activeCell="A7" sqref="A7"/>
      <selection pane="bottomRight" activeCell="D46" sqref="D46"/>
    </sheetView>
  </sheetViews>
  <sheetFormatPr defaultColWidth="8.7265625" defaultRowHeight="14.5" x14ac:dyDescent="0.35"/>
  <cols>
    <col min="1" max="1" width="9" customWidth="1"/>
    <col min="2" max="2" width="26" customWidth="1"/>
    <col min="3" max="3" width="13" customWidth="1"/>
    <col min="4" max="4" width="11" customWidth="1"/>
    <col min="5" max="5" width="7" customWidth="1"/>
    <col min="6" max="6" width="9" customWidth="1"/>
    <col min="7" max="7" width="12" customWidth="1"/>
    <col min="8" max="8" width="13" customWidth="1"/>
    <col min="9" max="23" width="3.1796875" customWidth="1"/>
  </cols>
  <sheetData>
    <row r="1" spans="1:23" ht="21.75" customHeight="1" x14ac:dyDescent="0.4">
      <c r="A1" s="18" t="s">
        <v>100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x14ac:dyDescent="0.35">
      <c r="A2" s="19" t="s">
        <v>19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4" spans="1:23" ht="15.75" customHeight="1" x14ac:dyDescent="0.35">
      <c r="A4" s="20" t="s">
        <v>20</v>
      </c>
      <c r="B4" s="20" t="s">
        <v>21</v>
      </c>
      <c r="C4" s="20" t="s">
        <v>22</v>
      </c>
      <c r="D4" s="20" t="s">
        <v>23</v>
      </c>
      <c r="E4" s="20" t="s">
        <v>24</v>
      </c>
      <c r="F4" s="20" t="s">
        <v>25</v>
      </c>
      <c r="G4" s="20" t="s">
        <v>26</v>
      </c>
      <c r="H4" s="20" t="s">
        <v>27</v>
      </c>
      <c r="I4" s="21" t="s">
        <v>28</v>
      </c>
      <c r="J4" s="21"/>
      <c r="K4" s="21"/>
      <c r="L4" s="21"/>
      <c r="M4" s="21"/>
      <c r="N4" s="22" t="s">
        <v>29</v>
      </c>
      <c r="O4" s="22"/>
      <c r="P4" s="22"/>
      <c r="Q4" s="22"/>
      <c r="R4" s="22"/>
      <c r="S4" s="21" t="s">
        <v>30</v>
      </c>
      <c r="T4" s="21"/>
      <c r="U4" s="21"/>
      <c r="V4" s="21"/>
      <c r="W4" s="21"/>
    </row>
    <row r="5" spans="1:23" ht="13.5" customHeight="1" x14ac:dyDescent="0.35">
      <c r="A5" s="20"/>
      <c r="B5" s="20"/>
      <c r="C5" s="20"/>
      <c r="D5" s="20"/>
      <c r="E5" s="20"/>
      <c r="F5" s="20"/>
      <c r="G5" s="20"/>
      <c r="H5" s="20"/>
      <c r="I5" s="9" t="s">
        <v>31</v>
      </c>
      <c r="J5" s="9" t="s">
        <v>32</v>
      </c>
      <c r="K5" s="9" t="s">
        <v>33</v>
      </c>
      <c r="L5" s="9" t="s">
        <v>34</v>
      </c>
      <c r="M5" s="9" t="s">
        <v>35</v>
      </c>
      <c r="N5" s="9" t="s">
        <v>31</v>
      </c>
      <c r="O5" s="9" t="s">
        <v>32</v>
      </c>
      <c r="P5" s="9" t="s">
        <v>33</v>
      </c>
      <c r="Q5" s="9" t="s">
        <v>34</v>
      </c>
      <c r="R5" s="9" t="s">
        <v>35</v>
      </c>
      <c r="S5" s="9" t="s">
        <v>31</v>
      </c>
      <c r="T5" s="9" t="s">
        <v>32</v>
      </c>
      <c r="U5" s="9" t="s">
        <v>33</v>
      </c>
      <c r="V5" s="9" t="s">
        <v>34</v>
      </c>
      <c r="W5" s="9" t="s">
        <v>35</v>
      </c>
    </row>
    <row r="6" spans="1:23" ht="12" customHeight="1" x14ac:dyDescent="0.35">
      <c r="A6" s="20"/>
      <c r="B6" s="20"/>
      <c r="C6" s="20"/>
      <c r="D6" s="20"/>
      <c r="E6" s="20"/>
      <c r="F6" s="20"/>
      <c r="G6" s="20"/>
      <c r="H6" s="20"/>
      <c r="I6" s="10">
        <v>1</v>
      </c>
      <c r="J6" s="10">
        <v>2</v>
      </c>
      <c r="K6" s="10">
        <v>3</v>
      </c>
      <c r="L6" s="10">
        <v>4</v>
      </c>
      <c r="M6" s="10">
        <v>5</v>
      </c>
      <c r="N6" s="10">
        <v>6</v>
      </c>
      <c r="O6" s="10">
        <v>7</v>
      </c>
      <c r="P6" s="10">
        <v>8</v>
      </c>
      <c r="Q6" s="10">
        <v>9</v>
      </c>
      <c r="R6" s="10">
        <v>10</v>
      </c>
      <c r="S6" s="10">
        <v>11</v>
      </c>
      <c r="T6" s="10">
        <v>12</v>
      </c>
      <c r="U6" s="10">
        <v>13</v>
      </c>
      <c r="V6" s="10">
        <v>14</v>
      </c>
      <c r="W6" s="10">
        <v>15</v>
      </c>
    </row>
    <row r="7" spans="1:23" ht="15" customHeight="1" x14ac:dyDescent="0.35">
      <c r="A7" s="11" t="s">
        <v>36</v>
      </c>
      <c r="B7" s="11" t="s">
        <v>110</v>
      </c>
      <c r="C7" s="11" t="s">
        <v>47</v>
      </c>
      <c r="D7" s="12">
        <v>120</v>
      </c>
      <c r="E7" s="12">
        <v>1</v>
      </c>
      <c r="F7" s="12">
        <v>1</v>
      </c>
      <c r="G7" s="12">
        <v>3</v>
      </c>
      <c r="H7" s="11" t="s">
        <v>38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3" ht="15" customHeight="1" x14ac:dyDescent="0.35">
      <c r="A8" s="11" t="s">
        <v>53</v>
      </c>
      <c r="B8" s="11" t="s">
        <v>111</v>
      </c>
      <c r="C8" s="11" t="s">
        <v>47</v>
      </c>
      <c r="D8" s="12">
        <v>180</v>
      </c>
      <c r="E8" s="12">
        <v>1</v>
      </c>
      <c r="F8" s="12">
        <v>3</v>
      </c>
      <c r="G8" s="12">
        <v>3</v>
      </c>
      <c r="H8" s="11" t="s">
        <v>38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23" ht="15" customHeight="1" x14ac:dyDescent="0.35">
      <c r="A9" s="11" t="s">
        <v>54</v>
      </c>
      <c r="B9" s="11" t="s">
        <v>114</v>
      </c>
      <c r="C9" s="11" t="s">
        <v>47</v>
      </c>
      <c r="D9" s="12">
        <v>120</v>
      </c>
      <c r="E9" s="12">
        <v>1</v>
      </c>
      <c r="F9" s="12">
        <v>1</v>
      </c>
      <c r="G9" s="12">
        <v>2</v>
      </c>
      <c r="H9" s="11" t="s">
        <v>38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spans="1:23" ht="15" customHeight="1" x14ac:dyDescent="0.35">
      <c r="A10" s="11" t="s">
        <v>55</v>
      </c>
      <c r="B10" s="11" t="s">
        <v>92</v>
      </c>
      <c r="C10" s="11" t="s">
        <v>50</v>
      </c>
      <c r="D10" s="12">
        <v>180</v>
      </c>
      <c r="E10" s="12">
        <v>1</v>
      </c>
      <c r="F10" s="12">
        <v>1</v>
      </c>
      <c r="G10" s="12">
        <v>3</v>
      </c>
      <c r="H10" s="11" t="s">
        <v>38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spans="1:23" ht="15" customHeight="1" x14ac:dyDescent="0.35">
      <c r="A11" s="11" t="s">
        <v>56</v>
      </c>
      <c r="B11" s="11" t="s">
        <v>115</v>
      </c>
      <c r="C11" s="11" t="s">
        <v>50</v>
      </c>
      <c r="D11" s="12">
        <v>120</v>
      </c>
      <c r="E11" s="12">
        <v>1</v>
      </c>
      <c r="F11" s="12">
        <v>3</v>
      </c>
      <c r="G11" s="12">
        <v>3</v>
      </c>
      <c r="H11" s="11" t="s">
        <v>36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 ht="15" customHeight="1" x14ac:dyDescent="0.35">
      <c r="A12" s="11" t="s">
        <v>57</v>
      </c>
      <c r="B12" s="11" t="s">
        <v>89</v>
      </c>
      <c r="C12" s="11" t="s">
        <v>50</v>
      </c>
      <c r="D12" s="12">
        <v>60</v>
      </c>
      <c r="E12" s="12">
        <v>1</v>
      </c>
      <c r="F12" s="12">
        <v>2</v>
      </c>
      <c r="G12" s="12">
        <v>1</v>
      </c>
      <c r="H12" s="11" t="s">
        <v>38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3" ht="15" customHeight="1" x14ac:dyDescent="0.35">
      <c r="A13" s="11" t="s">
        <v>58</v>
      </c>
      <c r="B13" s="11" t="s">
        <v>93</v>
      </c>
      <c r="C13" s="11" t="s">
        <v>49</v>
      </c>
      <c r="D13" s="12">
        <v>180</v>
      </c>
      <c r="E13" s="12">
        <v>1</v>
      </c>
      <c r="F13" s="12">
        <v>1</v>
      </c>
      <c r="G13" s="12">
        <v>3</v>
      </c>
      <c r="H13" s="11" t="s">
        <v>38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3" ht="15" customHeight="1" x14ac:dyDescent="0.35">
      <c r="A14" s="11" t="s">
        <v>59</v>
      </c>
      <c r="B14" s="11" t="s">
        <v>90</v>
      </c>
      <c r="C14" s="11" t="s">
        <v>49</v>
      </c>
      <c r="D14" s="12">
        <v>180</v>
      </c>
      <c r="E14" s="12">
        <v>1</v>
      </c>
      <c r="F14" s="12">
        <v>3</v>
      </c>
      <c r="G14" s="12">
        <v>3</v>
      </c>
      <c r="H14" s="11" t="s">
        <v>55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 ht="15" customHeight="1" x14ac:dyDescent="0.35">
      <c r="A15" s="11" t="s">
        <v>60</v>
      </c>
      <c r="B15" s="11" t="s">
        <v>89</v>
      </c>
      <c r="C15" s="11" t="s">
        <v>49</v>
      </c>
      <c r="D15" s="12">
        <v>60</v>
      </c>
      <c r="E15" s="12">
        <v>1</v>
      </c>
      <c r="F15" s="12">
        <v>2</v>
      </c>
      <c r="G15" s="12">
        <v>1</v>
      </c>
      <c r="H15" s="11" t="s">
        <v>38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3" ht="15" customHeight="1" x14ac:dyDescent="0.35">
      <c r="A16" s="11" t="s">
        <v>61</v>
      </c>
      <c r="B16" s="11" t="s">
        <v>116</v>
      </c>
      <c r="C16" s="11" t="s">
        <v>37</v>
      </c>
      <c r="D16" s="12">
        <v>180</v>
      </c>
      <c r="E16" s="12">
        <v>1</v>
      </c>
      <c r="F16" s="12">
        <v>1</v>
      </c>
      <c r="G16" s="12">
        <v>3</v>
      </c>
      <c r="H16" s="11" t="s">
        <v>38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ht="15" customHeight="1" x14ac:dyDescent="0.35">
      <c r="A17" s="11" t="s">
        <v>62</v>
      </c>
      <c r="B17" s="11" t="s">
        <v>91</v>
      </c>
      <c r="C17" s="11" t="s">
        <v>37</v>
      </c>
      <c r="D17" s="12">
        <v>180</v>
      </c>
      <c r="E17" s="12">
        <v>1</v>
      </c>
      <c r="F17" s="12">
        <v>3</v>
      </c>
      <c r="G17" s="12">
        <v>3</v>
      </c>
      <c r="H17" s="11" t="s">
        <v>97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ht="15" customHeight="1" x14ac:dyDescent="0.35">
      <c r="A18" s="11" t="s">
        <v>63</v>
      </c>
      <c r="B18" s="11" t="s">
        <v>89</v>
      </c>
      <c r="C18" s="11" t="s">
        <v>37</v>
      </c>
      <c r="D18" s="12">
        <v>60</v>
      </c>
      <c r="E18" s="12">
        <v>1</v>
      </c>
      <c r="F18" s="12">
        <v>2</v>
      </c>
      <c r="G18" s="12">
        <v>1</v>
      </c>
      <c r="H18" s="11" t="s">
        <v>38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ht="15" customHeight="1" x14ac:dyDescent="0.35">
      <c r="A19" s="11" t="s">
        <v>64</v>
      </c>
      <c r="B19" s="11" t="s">
        <v>116</v>
      </c>
      <c r="C19" s="11" t="s">
        <v>48</v>
      </c>
      <c r="D19" s="12">
        <v>180</v>
      </c>
      <c r="E19" s="12">
        <v>1</v>
      </c>
      <c r="F19" s="12">
        <v>1</v>
      </c>
      <c r="G19" s="12">
        <v>3</v>
      </c>
      <c r="H19" s="11" t="s">
        <v>38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 ht="15" customHeight="1" x14ac:dyDescent="0.35">
      <c r="A20" s="11" t="s">
        <v>65</v>
      </c>
      <c r="B20" s="11" t="s">
        <v>91</v>
      </c>
      <c r="C20" s="11" t="s">
        <v>48</v>
      </c>
      <c r="D20" s="12">
        <v>180</v>
      </c>
      <c r="E20" s="12">
        <v>1</v>
      </c>
      <c r="F20" s="12">
        <v>3</v>
      </c>
      <c r="G20" s="12">
        <v>3</v>
      </c>
      <c r="H20" s="11" t="s">
        <v>97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 ht="15" customHeight="1" x14ac:dyDescent="0.35">
      <c r="A21" s="11" t="s">
        <v>66</v>
      </c>
      <c r="B21" s="11" t="s">
        <v>89</v>
      </c>
      <c r="C21" s="11" t="s">
        <v>48</v>
      </c>
      <c r="D21" s="12">
        <v>60</v>
      </c>
      <c r="E21" s="12">
        <v>1</v>
      </c>
      <c r="F21" s="12">
        <v>2</v>
      </c>
      <c r="G21" s="12">
        <v>1</v>
      </c>
      <c r="H21" s="11" t="s">
        <v>38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 ht="15" customHeight="1" x14ac:dyDescent="0.35">
      <c r="A22" s="11" t="s">
        <v>67</v>
      </c>
      <c r="B22" s="11" t="s">
        <v>112</v>
      </c>
      <c r="C22" s="11" t="s">
        <v>47</v>
      </c>
      <c r="D22" s="12">
        <v>120</v>
      </c>
      <c r="E22" s="12">
        <v>2</v>
      </c>
      <c r="F22" s="12">
        <v>1</v>
      </c>
      <c r="G22" s="12">
        <v>3</v>
      </c>
      <c r="H22" s="11" t="s">
        <v>98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 ht="15" customHeight="1" x14ac:dyDescent="0.35">
      <c r="A23" s="11" t="s">
        <v>68</v>
      </c>
      <c r="B23" s="11" t="s">
        <v>117</v>
      </c>
      <c r="C23" s="11" t="s">
        <v>47</v>
      </c>
      <c r="D23" s="12">
        <v>120</v>
      </c>
      <c r="E23" s="12">
        <v>2</v>
      </c>
      <c r="F23" s="12">
        <v>3</v>
      </c>
      <c r="G23" s="12">
        <v>3</v>
      </c>
      <c r="H23" s="11" t="s">
        <v>98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3" ht="15" customHeight="1" x14ac:dyDescent="0.35">
      <c r="A24" s="11" t="s">
        <v>69</v>
      </c>
      <c r="B24" s="11" t="s">
        <v>114</v>
      </c>
      <c r="C24" s="11" t="s">
        <v>47</v>
      </c>
      <c r="D24" s="12">
        <v>120</v>
      </c>
      <c r="E24" s="12">
        <v>2</v>
      </c>
      <c r="F24" s="12">
        <v>1</v>
      </c>
      <c r="G24" s="12">
        <v>2</v>
      </c>
      <c r="H24" s="11" t="s">
        <v>38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spans="1:23" ht="15" customHeight="1" x14ac:dyDescent="0.35">
      <c r="A25" s="11" t="s">
        <v>70</v>
      </c>
      <c r="B25" s="11" t="s">
        <v>76</v>
      </c>
      <c r="C25" s="11" t="s">
        <v>50</v>
      </c>
      <c r="D25" s="12">
        <v>180</v>
      </c>
      <c r="E25" s="12">
        <v>2</v>
      </c>
      <c r="F25" s="12">
        <v>1</v>
      </c>
      <c r="G25" s="12">
        <v>3</v>
      </c>
      <c r="H25" s="11" t="s">
        <v>55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spans="1:23" ht="15" customHeight="1" x14ac:dyDescent="0.35">
      <c r="A26" s="11" t="s">
        <v>71</v>
      </c>
      <c r="B26" s="11" t="s">
        <v>118</v>
      </c>
      <c r="C26" s="11" t="s">
        <v>50</v>
      </c>
      <c r="D26" s="12">
        <v>180</v>
      </c>
      <c r="E26" s="12">
        <v>2</v>
      </c>
      <c r="F26" s="12">
        <v>3</v>
      </c>
      <c r="G26" s="12">
        <v>3</v>
      </c>
      <c r="H26" s="11" t="s">
        <v>64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 ht="15" customHeight="1" x14ac:dyDescent="0.35">
      <c r="A27" s="11" t="s">
        <v>72</v>
      </c>
      <c r="B27" s="11" t="s">
        <v>89</v>
      </c>
      <c r="C27" s="11" t="s">
        <v>50</v>
      </c>
      <c r="D27" s="12">
        <v>60</v>
      </c>
      <c r="E27" s="12">
        <v>2</v>
      </c>
      <c r="F27" s="12">
        <v>2</v>
      </c>
      <c r="G27" s="12">
        <v>1</v>
      </c>
      <c r="H27" s="11" t="s">
        <v>38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 spans="1:23" ht="15" customHeight="1" x14ac:dyDescent="0.35">
      <c r="A28" s="11" t="s">
        <v>73</v>
      </c>
      <c r="B28" s="11" t="s">
        <v>119</v>
      </c>
      <c r="C28" s="11" t="s">
        <v>49</v>
      </c>
      <c r="D28" s="12">
        <v>120</v>
      </c>
      <c r="E28" s="12">
        <v>2</v>
      </c>
      <c r="F28" s="12">
        <v>1</v>
      </c>
      <c r="G28" s="12">
        <v>3</v>
      </c>
      <c r="H28" s="11" t="s">
        <v>98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ht="15" customHeight="1" x14ac:dyDescent="0.35">
      <c r="A29" s="11" t="s">
        <v>75</v>
      </c>
      <c r="B29" s="11" t="s">
        <v>118</v>
      </c>
      <c r="C29" s="11" t="s">
        <v>49</v>
      </c>
      <c r="D29" s="12">
        <v>180</v>
      </c>
      <c r="E29" s="12">
        <v>2</v>
      </c>
      <c r="F29" s="12">
        <v>3</v>
      </c>
      <c r="G29" s="12">
        <v>3</v>
      </c>
      <c r="H29" s="11" t="s">
        <v>67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" customHeight="1" x14ac:dyDescent="0.35">
      <c r="A30" s="11" t="s">
        <v>74</v>
      </c>
      <c r="B30" s="11" t="s">
        <v>89</v>
      </c>
      <c r="C30" s="11" t="s">
        <v>49</v>
      </c>
      <c r="D30" s="12">
        <v>60</v>
      </c>
      <c r="E30" s="12">
        <v>2</v>
      </c>
      <c r="F30" s="12">
        <v>2</v>
      </c>
      <c r="G30" s="12">
        <v>1</v>
      </c>
      <c r="H30" s="11" t="s">
        <v>38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23" ht="15" customHeight="1" x14ac:dyDescent="0.35">
      <c r="A31" s="11" t="s">
        <v>77</v>
      </c>
      <c r="B31" s="11" t="s">
        <v>94</v>
      </c>
      <c r="C31" s="11" t="s">
        <v>37</v>
      </c>
      <c r="D31" s="12">
        <v>240</v>
      </c>
      <c r="E31" s="12">
        <v>2</v>
      </c>
      <c r="F31" s="12">
        <v>1</v>
      </c>
      <c r="G31" s="12">
        <v>3</v>
      </c>
      <c r="H31" s="11" t="s">
        <v>98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spans="1:23" ht="15" customHeight="1" x14ac:dyDescent="0.35">
      <c r="A32" s="11" t="s">
        <v>78</v>
      </c>
      <c r="B32" s="11" t="s">
        <v>95</v>
      </c>
      <c r="C32" s="11" t="s">
        <v>37</v>
      </c>
      <c r="D32" s="12">
        <v>120</v>
      </c>
      <c r="E32" s="12">
        <v>2</v>
      </c>
      <c r="F32" s="12">
        <v>3</v>
      </c>
      <c r="G32" s="12">
        <v>3</v>
      </c>
      <c r="H32" s="11" t="s">
        <v>70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 ht="15" customHeight="1" x14ac:dyDescent="0.35">
      <c r="A33" s="11" t="s">
        <v>79</v>
      </c>
      <c r="B33" s="11" t="s">
        <v>89</v>
      </c>
      <c r="C33" s="11" t="s">
        <v>37</v>
      </c>
      <c r="D33" s="12">
        <v>60</v>
      </c>
      <c r="E33" s="12">
        <v>2</v>
      </c>
      <c r="F33" s="12">
        <v>2</v>
      </c>
      <c r="G33" s="12">
        <v>1</v>
      </c>
      <c r="H33" s="11" t="s">
        <v>38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spans="1:23" x14ac:dyDescent="0.35">
      <c r="A34" s="11" t="s">
        <v>80</v>
      </c>
      <c r="B34" s="11" t="s">
        <v>94</v>
      </c>
      <c r="C34" s="11" t="s">
        <v>48</v>
      </c>
      <c r="D34" s="12">
        <v>240</v>
      </c>
      <c r="E34" s="12">
        <v>2</v>
      </c>
      <c r="F34" s="12">
        <v>1</v>
      </c>
      <c r="G34" s="12">
        <v>3</v>
      </c>
      <c r="H34" s="11" t="s">
        <v>98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 spans="1:23" x14ac:dyDescent="0.35">
      <c r="A35" s="11" t="s">
        <v>81</v>
      </c>
      <c r="B35" s="11" t="s">
        <v>95</v>
      </c>
      <c r="C35" s="11" t="s">
        <v>48</v>
      </c>
      <c r="D35" s="12">
        <v>120</v>
      </c>
      <c r="E35" s="12">
        <v>2</v>
      </c>
      <c r="F35" s="12">
        <v>3</v>
      </c>
      <c r="G35" s="12">
        <v>3</v>
      </c>
      <c r="H35" s="11" t="s">
        <v>73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 spans="1:23" x14ac:dyDescent="0.35">
      <c r="A36" s="11" t="s">
        <v>82</v>
      </c>
      <c r="B36" s="11" t="s">
        <v>89</v>
      </c>
      <c r="C36" s="11" t="s">
        <v>48</v>
      </c>
      <c r="D36" s="12">
        <v>60</v>
      </c>
      <c r="E36" s="12">
        <v>2</v>
      </c>
      <c r="F36" s="12">
        <v>2</v>
      </c>
      <c r="G36" s="12">
        <v>1</v>
      </c>
      <c r="H36" s="11" t="s">
        <v>38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 spans="1:23" x14ac:dyDescent="0.35">
      <c r="A37" s="11" t="s">
        <v>83</v>
      </c>
      <c r="B37" s="11" t="s">
        <v>120</v>
      </c>
      <c r="C37" s="11" t="s">
        <v>47</v>
      </c>
      <c r="D37" s="12">
        <v>180</v>
      </c>
      <c r="E37" s="12">
        <v>3</v>
      </c>
      <c r="F37" s="12">
        <v>1</v>
      </c>
      <c r="G37" s="12">
        <v>3</v>
      </c>
      <c r="H37" s="11" t="s">
        <v>99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 x14ac:dyDescent="0.35">
      <c r="A38" s="11" t="s">
        <v>84</v>
      </c>
      <c r="B38" s="11" t="s">
        <v>113</v>
      </c>
      <c r="C38" s="11" t="s">
        <v>47</v>
      </c>
      <c r="D38" s="12">
        <v>120</v>
      </c>
      <c r="E38" s="12">
        <v>3</v>
      </c>
      <c r="F38" s="12">
        <v>3</v>
      </c>
      <c r="G38" s="12">
        <v>3</v>
      </c>
      <c r="H38" s="11" t="s">
        <v>38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spans="1:23" x14ac:dyDescent="0.35">
      <c r="A39" s="11" t="s">
        <v>85</v>
      </c>
      <c r="B39" s="11" t="s">
        <v>114</v>
      </c>
      <c r="C39" s="11" t="s">
        <v>47</v>
      </c>
      <c r="D39" s="12">
        <v>120</v>
      </c>
      <c r="E39" s="12">
        <v>3</v>
      </c>
      <c r="F39" s="12">
        <v>1</v>
      </c>
      <c r="G39" s="12">
        <v>2</v>
      </c>
      <c r="H39" s="11" t="s">
        <v>38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 spans="1:23" x14ac:dyDescent="0.35">
      <c r="A40" s="11" t="s">
        <v>86</v>
      </c>
      <c r="B40" s="11" t="s">
        <v>121</v>
      </c>
      <c r="C40" s="11" t="s">
        <v>50</v>
      </c>
      <c r="D40" s="12">
        <v>180</v>
      </c>
      <c r="E40" s="12">
        <v>3</v>
      </c>
      <c r="F40" s="12">
        <v>1</v>
      </c>
      <c r="G40" s="12">
        <v>3</v>
      </c>
      <c r="H40" s="11" t="s">
        <v>99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 spans="1:23" x14ac:dyDescent="0.35">
      <c r="A41" s="11" t="s">
        <v>87</v>
      </c>
      <c r="B41" s="11" t="s">
        <v>122</v>
      </c>
      <c r="C41" s="11" t="s">
        <v>50</v>
      </c>
      <c r="D41" s="12">
        <v>120</v>
      </c>
      <c r="E41" s="12">
        <v>3</v>
      </c>
      <c r="F41" s="12">
        <v>3</v>
      </c>
      <c r="G41" s="12">
        <v>3</v>
      </c>
      <c r="H41" s="11" t="s">
        <v>77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1:23" x14ac:dyDescent="0.35">
      <c r="A42" s="11" t="s">
        <v>88</v>
      </c>
      <c r="B42" s="11" t="s">
        <v>89</v>
      </c>
      <c r="C42" s="11" t="s">
        <v>50</v>
      </c>
      <c r="D42" s="12">
        <v>60</v>
      </c>
      <c r="E42" s="12">
        <v>3</v>
      </c>
      <c r="F42" s="12">
        <v>2</v>
      </c>
      <c r="G42" s="12">
        <v>1</v>
      </c>
      <c r="H42" s="11" t="s">
        <v>38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 spans="1:23" x14ac:dyDescent="0.35">
      <c r="A43" s="11" t="s">
        <v>101</v>
      </c>
      <c r="B43" s="11" t="s">
        <v>123</v>
      </c>
      <c r="C43" s="11" t="s">
        <v>49</v>
      </c>
      <c r="D43" s="12">
        <v>120</v>
      </c>
      <c r="E43" s="12">
        <v>3</v>
      </c>
      <c r="F43" s="12">
        <v>1</v>
      </c>
      <c r="G43" s="12">
        <v>3</v>
      </c>
      <c r="H43" s="11" t="s">
        <v>99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 spans="1:23" x14ac:dyDescent="0.35">
      <c r="A44" s="11" t="s">
        <v>102</v>
      </c>
      <c r="B44" s="11" t="s">
        <v>124</v>
      </c>
      <c r="C44" s="11" t="s">
        <v>49</v>
      </c>
      <c r="D44" s="12">
        <v>180</v>
      </c>
      <c r="E44" s="12">
        <v>3</v>
      </c>
      <c r="F44" s="12">
        <v>3</v>
      </c>
      <c r="G44" s="12">
        <v>3</v>
      </c>
      <c r="H44" s="11" t="s">
        <v>80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 spans="1:23" x14ac:dyDescent="0.35">
      <c r="A45" s="11" t="s">
        <v>103</v>
      </c>
      <c r="B45" s="11" t="s">
        <v>89</v>
      </c>
      <c r="C45" s="11" t="s">
        <v>49</v>
      </c>
      <c r="D45" s="12">
        <v>60</v>
      </c>
      <c r="E45" s="12">
        <v>3</v>
      </c>
      <c r="F45" s="12">
        <v>2</v>
      </c>
      <c r="G45" s="12">
        <v>1</v>
      </c>
      <c r="H45" s="11" t="s">
        <v>38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 spans="1:23" x14ac:dyDescent="0.35">
      <c r="A46" s="11" t="s">
        <v>104</v>
      </c>
      <c r="B46" s="11" t="s">
        <v>125</v>
      </c>
      <c r="C46" s="11" t="s">
        <v>37</v>
      </c>
      <c r="D46" s="12">
        <v>120</v>
      </c>
      <c r="E46" s="12">
        <v>3</v>
      </c>
      <c r="F46" s="12">
        <v>1</v>
      </c>
      <c r="G46" s="12">
        <v>3</v>
      </c>
      <c r="H46" s="11" t="s">
        <v>126</v>
      </c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x14ac:dyDescent="0.35">
      <c r="A47" s="11" t="s">
        <v>105</v>
      </c>
      <c r="B47" s="11" t="s">
        <v>96</v>
      </c>
      <c r="C47" s="11" t="s">
        <v>37</v>
      </c>
      <c r="D47" s="12">
        <v>120</v>
      </c>
      <c r="E47" s="12">
        <v>3</v>
      </c>
      <c r="F47" s="12">
        <v>3</v>
      </c>
      <c r="G47" s="12">
        <v>3</v>
      </c>
      <c r="H47" s="11" t="s">
        <v>83</v>
      </c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spans="1:23" x14ac:dyDescent="0.35">
      <c r="A48" s="11" t="s">
        <v>106</v>
      </c>
      <c r="B48" s="11" t="s">
        <v>89</v>
      </c>
      <c r="C48" s="11" t="s">
        <v>37</v>
      </c>
      <c r="D48" s="12">
        <v>60</v>
      </c>
      <c r="E48" s="12">
        <v>3</v>
      </c>
      <c r="F48" s="12">
        <v>2</v>
      </c>
      <c r="G48" s="12">
        <v>1</v>
      </c>
      <c r="H48" s="11" t="s">
        <v>38</v>
      </c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 spans="1:23" x14ac:dyDescent="0.35">
      <c r="A49" s="11" t="s">
        <v>107</v>
      </c>
      <c r="B49" s="11" t="s">
        <v>127</v>
      </c>
      <c r="C49" s="11" t="s">
        <v>48</v>
      </c>
      <c r="D49" s="12">
        <v>120</v>
      </c>
      <c r="E49" s="12">
        <v>3</v>
      </c>
      <c r="F49" s="12">
        <v>1</v>
      </c>
      <c r="G49" s="12">
        <v>3</v>
      </c>
      <c r="H49" s="11" t="s">
        <v>83</v>
      </c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 spans="1:23" x14ac:dyDescent="0.35">
      <c r="A50" s="11" t="s">
        <v>108</v>
      </c>
      <c r="B50" s="11" t="s">
        <v>96</v>
      </c>
      <c r="C50" s="11" t="s">
        <v>48</v>
      </c>
      <c r="D50" s="12">
        <v>120</v>
      </c>
      <c r="E50" s="12">
        <v>3</v>
      </c>
      <c r="F50" s="12">
        <v>3</v>
      </c>
      <c r="G50" s="12">
        <v>3</v>
      </c>
      <c r="H50" s="11" t="s">
        <v>86</v>
      </c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spans="1:23" x14ac:dyDescent="0.35">
      <c r="A51" s="11" t="s">
        <v>109</v>
      </c>
      <c r="B51" s="11" t="s">
        <v>89</v>
      </c>
      <c r="C51" s="11" t="s">
        <v>48</v>
      </c>
      <c r="D51" s="12">
        <v>60</v>
      </c>
      <c r="E51" s="12">
        <v>3</v>
      </c>
      <c r="F51" s="12">
        <v>2</v>
      </c>
      <c r="G51" s="12">
        <v>1</v>
      </c>
      <c r="H51" s="11" t="s">
        <v>38</v>
      </c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</sheetData>
  <mergeCells count="13">
    <mergeCell ref="A1:W1"/>
    <mergeCell ref="A2:W2"/>
    <mergeCell ref="A4:A6"/>
    <mergeCell ref="B4:B6"/>
    <mergeCell ref="C4:C6"/>
    <mergeCell ref="D4:D6"/>
    <mergeCell ref="E4:E6"/>
    <mergeCell ref="F4:F6"/>
    <mergeCell ref="G4:G6"/>
    <mergeCell ref="H4:H6"/>
    <mergeCell ref="I4:M4"/>
    <mergeCell ref="N4:R4"/>
    <mergeCell ref="S4:W4"/>
  </mergeCells>
  <conditionalFormatting sqref="I7:W51">
    <cfRule type="expression" dxfId="2" priority="225">
      <formula>AND(I$6&gt;=($E7-1)*5+$F7,I$6&lt;=($E7-1)*5+$F7+$G7-1)</formula>
    </cfRule>
  </conditionalFormatting>
  <dataValidations count="1">
    <dataValidation type="list" allowBlank="1" sqref="C7:C51" xr:uid="{00000000-0002-0000-0100-000000000000}">
      <formula1>"PM,Dev 1,Dev 2,UX/Research,Business/QA"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1"/>
  <sheetViews>
    <sheetView showGridLines="0" zoomScaleNormal="100" workbookViewId="0">
      <selection activeCell="C33" sqref="C33"/>
    </sheetView>
  </sheetViews>
  <sheetFormatPr defaultColWidth="8.7265625" defaultRowHeight="14.5" x14ac:dyDescent="0.35"/>
  <cols>
    <col min="1" max="1" width="16" customWidth="1"/>
    <col min="2" max="4" width="13" customWidth="1"/>
    <col min="5" max="6" width="15" customWidth="1"/>
  </cols>
  <sheetData>
    <row r="1" spans="1:6" ht="19.5" customHeight="1" x14ac:dyDescent="0.35">
      <c r="A1" s="23" t="s">
        <v>39</v>
      </c>
      <c r="B1" s="23"/>
      <c r="C1" s="23"/>
      <c r="D1" s="23"/>
      <c r="E1" s="23"/>
      <c r="F1" s="23"/>
    </row>
    <row r="2" spans="1:6" x14ac:dyDescent="0.35">
      <c r="A2" s="24" t="s">
        <v>40</v>
      </c>
      <c r="B2" s="24"/>
      <c r="C2" s="24"/>
      <c r="D2" s="24"/>
      <c r="E2" s="24"/>
      <c r="F2" s="24"/>
    </row>
    <row r="4" spans="1:6" ht="25.5" customHeight="1" x14ac:dyDescent="0.35">
      <c r="A4" s="1" t="s">
        <v>41</v>
      </c>
      <c r="B4" s="1" t="s">
        <v>42</v>
      </c>
      <c r="C4" s="1" t="s">
        <v>43</v>
      </c>
      <c r="D4" s="1" t="s">
        <v>44</v>
      </c>
      <c r="E4" s="1" t="s">
        <v>45</v>
      </c>
      <c r="F4" s="1" t="s">
        <v>46</v>
      </c>
    </row>
    <row r="5" spans="1:6" x14ac:dyDescent="0.35">
      <c r="A5" s="13" t="s">
        <v>47</v>
      </c>
      <c r="B5" s="14">
        <f>SUMIFS('Task Plan &amp; Gantt'!$D$7:$D$42,'Task Plan &amp; Gantt'!$C$7:$C$42,$A5,'Task Plan &amp; Gantt'!$E$7:$E$42,1)</f>
        <v>420</v>
      </c>
      <c r="C5" s="14">
        <f>SUMIFS('Task Plan &amp; Gantt'!$D$7:$D$42,'Task Plan &amp; Gantt'!$C$7:$C$42,$A5,'Task Plan &amp; Gantt'!$E$7:$E$42,2)</f>
        <v>360</v>
      </c>
      <c r="D5" s="14">
        <f>SUMIFS('Task Plan &amp; Gantt'!$D$7:$D$42,'Task Plan &amp; Gantt'!$C$7:$C$42,$A5,'Task Plan &amp; Gantt'!$E$7:$E$42,3)</f>
        <v>420</v>
      </c>
      <c r="E5" s="15">
        <f>SUM(B5:D5)</f>
        <v>1200</v>
      </c>
      <c r="F5" s="16">
        <f>E5/60</f>
        <v>20</v>
      </c>
    </row>
    <row r="6" spans="1:6" x14ac:dyDescent="0.35">
      <c r="A6" s="13" t="s">
        <v>37</v>
      </c>
      <c r="B6" s="14">
        <f>SUMIFS('Task Plan &amp; Gantt'!$D$7:$D$42,'Task Plan &amp; Gantt'!$C$7:$C$42,$A6,'Task Plan &amp; Gantt'!$E$7:$E$42,1)</f>
        <v>420</v>
      </c>
      <c r="C6" s="14">
        <f>SUMIFS('Task Plan &amp; Gantt'!$D$7:$D$42,'Task Plan &amp; Gantt'!$C$7:$C$42,$A6,'Task Plan &amp; Gantt'!$E$7:$E$42,2)</f>
        <v>420</v>
      </c>
      <c r="D6" s="14">
        <f>SUMIFS('Task Plan &amp; Gantt'!$D$7:$D$51,'Task Plan &amp; Gantt'!$C$7:$C$51,$A6,'Task Plan &amp; Gantt'!$E$7:$E$51,3)</f>
        <v>300</v>
      </c>
      <c r="E6" s="15">
        <f>SUM(B6:D6)</f>
        <v>1140</v>
      </c>
      <c r="F6" s="16">
        <f>E6/60</f>
        <v>19</v>
      </c>
    </row>
    <row r="7" spans="1:6" x14ac:dyDescent="0.35">
      <c r="A7" s="13" t="s">
        <v>48</v>
      </c>
      <c r="B7" s="14">
        <f>SUMIFS('Task Plan &amp; Gantt'!$D$7:$D$42,'Task Plan &amp; Gantt'!$C$7:$C$42,$A7,'Task Plan &amp; Gantt'!$E$7:$E$42,1)</f>
        <v>420</v>
      </c>
      <c r="C7" s="14">
        <f>SUMIFS('Task Plan &amp; Gantt'!$D$7:$D$42,'Task Plan &amp; Gantt'!$C$7:$C$42,$A7,'Task Plan &amp; Gantt'!$E$7:$E$42,2)</f>
        <v>420</v>
      </c>
      <c r="D7" s="14">
        <f>SUMIFS('Task Plan &amp; Gantt'!$D$7:$D$51,'Task Plan &amp; Gantt'!$C$7:$C$51,$A7,'Task Plan &amp; Gantt'!$E$7:$E$51,3)</f>
        <v>300</v>
      </c>
      <c r="E7" s="15">
        <f>SUM(B7:D7)</f>
        <v>1140</v>
      </c>
      <c r="F7" s="16">
        <f>E7/60</f>
        <v>19</v>
      </c>
    </row>
    <row r="8" spans="1:6" x14ac:dyDescent="0.35">
      <c r="A8" s="13" t="s">
        <v>49</v>
      </c>
      <c r="B8" s="14">
        <f>SUMIFS('Task Plan &amp; Gantt'!$D$7:$D$42,'Task Plan &amp; Gantt'!$C$7:$C$42,$A8,'Task Plan &amp; Gantt'!$E$7:$E$42,1)</f>
        <v>420</v>
      </c>
      <c r="C8" s="14">
        <f>SUMIFS('Task Plan &amp; Gantt'!$D$7:$D$42,'Task Plan &amp; Gantt'!$C$7:$C$42,$A8,'Task Plan &amp; Gantt'!$E$7:$E$42,2)</f>
        <v>360</v>
      </c>
      <c r="D8" s="14">
        <f>SUMIFS('Task Plan &amp; Gantt'!$D$7:$D$51,'Task Plan &amp; Gantt'!$C$7:$C$51,$A8,'Task Plan &amp; Gantt'!$E$7:$E$51,3)</f>
        <v>360</v>
      </c>
      <c r="E8" s="15">
        <f>SUM(B8:D8)</f>
        <v>1140</v>
      </c>
      <c r="F8" s="16">
        <f>E8/60</f>
        <v>19</v>
      </c>
    </row>
    <row r="9" spans="1:6" x14ac:dyDescent="0.35">
      <c r="A9" s="13" t="s">
        <v>50</v>
      </c>
      <c r="B9" s="14">
        <f>SUMIFS('Task Plan &amp; Gantt'!$D$7:$D$42,'Task Plan &amp; Gantt'!$C$7:$C$42,$A9,'Task Plan &amp; Gantt'!$E$7:$E$42,1)</f>
        <v>360</v>
      </c>
      <c r="C9" s="14">
        <f>SUMIFS('Task Plan &amp; Gantt'!$D$7:$D$42,'Task Plan &amp; Gantt'!$C$7:$C$42,$A9,'Task Plan &amp; Gantt'!$E$7:$E$42,2)</f>
        <v>420</v>
      </c>
      <c r="D9" s="14">
        <f>SUMIFS('Task Plan &amp; Gantt'!$D$7:$D$42,'Task Plan &amp; Gantt'!$C$7:$C$42,$A9,'Task Plan &amp; Gantt'!$E$7:$E$42,3)</f>
        <v>360</v>
      </c>
      <c r="E9" s="15">
        <f>SUM(B9:D9)</f>
        <v>1140</v>
      </c>
      <c r="F9" s="16">
        <f>E9/60</f>
        <v>19</v>
      </c>
    </row>
    <row r="11" spans="1:6" ht="27.75" customHeight="1" x14ac:dyDescent="0.35">
      <c r="A11" s="25" t="s">
        <v>51</v>
      </c>
      <c r="B11" s="25"/>
      <c r="C11" s="25"/>
      <c r="D11" s="25"/>
      <c r="E11" s="25"/>
      <c r="F11" s="25"/>
    </row>
  </sheetData>
  <mergeCells count="3">
    <mergeCell ref="A1:F1"/>
    <mergeCell ref="A2:F2"/>
    <mergeCell ref="A11:F11"/>
  </mergeCells>
  <conditionalFormatting sqref="B5:D9">
    <cfRule type="expression" dxfId="1" priority="2">
      <formula>B5&gt;=240</formula>
    </cfRule>
    <cfRule type="expression" dxfId="0" priority="3">
      <formula>B5&lt;240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Task Plan &amp; Gantt</vt:lpstr>
      <vt:lpstr>Weekly Workload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Gabriel Halvarsson</cp:lastModifiedBy>
  <cp:revision>0</cp:revision>
  <dcterms:created xsi:type="dcterms:W3CDTF">2026-09-01T08:03:46Z</dcterms:created>
  <dcterms:modified xsi:type="dcterms:W3CDTF">2026-09-13T07:33:29Z</dcterms:modified>
  <dc:language>en-US</dc:language>
</cp:coreProperties>
</file>